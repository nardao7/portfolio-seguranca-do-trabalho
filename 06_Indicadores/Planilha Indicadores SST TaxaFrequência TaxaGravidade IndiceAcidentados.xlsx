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dores" sheetId="1" r:id="rId5"/>
    <sheet state="visible" name="Mensal" sheetId="2" r:id="rId6"/>
    <sheet state="visible" name="Gráficos" sheetId="3" r:id="rId7"/>
  </sheets>
  <definedNames/>
  <calcPr/>
</workbook>
</file>

<file path=xl/sharedStrings.xml><?xml version="1.0" encoding="utf-8"?>
<sst xmlns="http://schemas.openxmlformats.org/spreadsheetml/2006/main" count="61" uniqueCount="61">
  <si>
    <t>Planilha Automática — Indicadores de SST (TF, TG e IA)</t>
  </si>
  <si>
    <t>ENTRADA DE DADOS (preencha as células amarelas)</t>
  </si>
  <si>
    <t>Total de empregados</t>
  </si>
  <si>
    <t>Quantidade total de trabalhadores no setor/empresa.</t>
  </si>
  <si>
    <t>Nº de acidentados (com afastamento)</t>
  </si>
  <si>
    <t>Quantidade de acidentes com afastamento no período.</t>
  </si>
  <si>
    <t>Dias perdidos no período (TOTAL)</t>
  </si>
  <si>
    <t>Dias afastados por acidente (use média se variar).</t>
  </si>
  <si>
    <t>Horas trabalhadas por dia</t>
  </si>
  <si>
    <t>Jornada diária já considerando o descanso, se for o caso.</t>
  </si>
  <si>
    <t>Dias trabalhados no mês</t>
  </si>
  <si>
    <t>Dias efetivamente trabalhados no período.</t>
  </si>
  <si>
    <t>Meses avaliados</t>
  </si>
  <si>
    <t>Quantidade de meses no período</t>
  </si>
  <si>
    <t>Dias debitados (opcional)</t>
  </si>
  <si>
    <t>Use tabela de dias debitados (NBR 14280). Se não houver, deixe 0.</t>
  </si>
  <si>
    <r>
      <rPr>
        <rFont val="Calibri"/>
        <b/>
        <color theme="1"/>
        <sz val="13.0"/>
      </rPr>
      <t xml:space="preserve">Fator </t>
    </r>
    <r>
      <rPr>
        <rFont val="Calibri"/>
        <b/>
        <color rgb="FFFF0000"/>
        <sz val="13.0"/>
      </rPr>
      <t>(padrão)</t>
    </r>
  </si>
  <si>
    <r>
      <rPr>
        <rFont val="Calibri"/>
        <b/>
        <color rgb="FF555555"/>
        <sz val="13.0"/>
      </rPr>
      <t xml:space="preserve">Padrão para TF/TG: por 1.000.000 de horas-homem. </t>
    </r>
    <r>
      <rPr>
        <rFont val="Calibri"/>
        <b/>
        <color rgb="FFFF0000"/>
        <sz val="13.0"/>
      </rPr>
      <t>NÃO ALTERAR</t>
    </r>
  </si>
  <si>
    <t>RESULTADOS (calculado automaticamente)</t>
  </si>
  <si>
    <t>Horas-Homem Trabalhadas (HHT)</t>
  </si>
  <si>
    <t>HHT = empregados × horas/dia × dias trabalhados.</t>
  </si>
  <si>
    <t>Dias Perdidos</t>
  </si>
  <si>
    <t>Dias perdidos = acidentados × dias afastados (média).</t>
  </si>
  <si>
    <t>Taxa de Frequência (TF)</t>
  </si>
  <si>
    <t>TF = (acidentes × fator) / HHT.</t>
  </si>
  <si>
    <t>Taxa de Gravidade (TG)</t>
  </si>
  <si>
    <t>TG = ((dias perdidos + debitados) × fator) / HHT.</t>
  </si>
  <si>
    <t>Índice de Acidentados (IA)</t>
  </si>
  <si>
    <t>IA = acidentados / total de empregados.</t>
  </si>
  <si>
    <t>Observações:
• TF e TG normalmente usam fator 1.000.000 (NBR 14280).
• 'Dias debitados' dependem da natureza/gravidade (tabela). Se não for informado, use 0.</t>
  </si>
  <si>
    <t>Controle Mensal — TF, TG, IA, Acidentes sem afastamento e Quase-acidentes</t>
  </si>
  <si>
    <t>Parâmetros (padrão)</t>
  </si>
  <si>
    <t>Total empregados</t>
  </si>
  <si>
    <t>Horas/dia</t>
  </si>
  <si>
    <t>Dias trabalhados</t>
  </si>
  <si>
    <t>Fator</t>
  </si>
  <si>
    <t>Obs.</t>
  </si>
  <si>
    <t>Edite B4–E4 se seus parâmetros mudarem ao longo do ano.</t>
  </si>
  <si>
    <t>Mês</t>
  </si>
  <si>
    <t>Acid. c/ afast.</t>
  </si>
  <si>
    <t>Acid. s/ afast.</t>
  </si>
  <si>
    <t>Quase-acid.</t>
  </si>
  <si>
    <t>Dias perdidos</t>
  </si>
  <si>
    <t>Dias debitados</t>
  </si>
  <si>
    <t>HHT</t>
  </si>
  <si>
    <t>TF total</t>
  </si>
  <si>
    <t>TG</t>
  </si>
  <si>
    <t>IA</t>
  </si>
  <si>
    <t>Taxa quase-acid.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</si>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</sst>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8.0"/>
      <color rgb="FFFFFFFF"/>
      <name val="Calibri"/>
      <scheme val="minor"/>
    </font>
    <font/>
    <font>
      <b/>
      <sz val="15.0"/>
      <color rgb="FFFFFFFF"/>
      <name val="Calibri"/>
      <scheme val="minor"/>
    </font>
    <font>
      <b/>
      <sz val="13.0"/>
      <color theme="1"/>
      <name val="Calibri"/>
      <scheme val="minor"/>
    </font>
    <font>
      <b/>
      <sz val="13.0"/>
      <color theme="1"/>
      <name val="Calibri"/>
    </font>
    <font>
      <b/>
      <sz val="13.0"/>
      <color rgb="FF555555"/>
      <name val="Calibri"/>
      <scheme val="minor"/>
    </font>
    <font>
      <b/>
      <sz val="13.0"/>
      <color rgb="FFFF0000"/>
      <name val="Calibri"/>
    </font>
    <font>
      <b/>
      <sz val="12.0"/>
      <color rgb="FF555555"/>
      <name val="Calibri"/>
      <scheme val="minor"/>
    </font>
    <font>
      <b/>
      <sz val="15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555555"/>
      <name val="Calibri"/>
    </font>
    <font>
      <b/>
      <sz val="13.0"/>
      <color rgb="FFFFFFFF"/>
      <name val="Calibri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left" shrinkToFit="0" vertical="center" wrapText="1"/>
    </xf>
    <xf borderId="7" fillId="4" fontId="5" numFmtId="0" xfId="0" applyAlignment="1" applyBorder="1" applyFill="1" applyFont="1">
      <alignment horizontal="center" readingOrder="0" shrinkToFit="0" vertical="center" wrapText="1"/>
    </xf>
    <xf borderId="7" fillId="0" fontId="6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horizontal="left" readingOrder="0" shrinkToFit="0" vertical="center" wrapText="1"/>
    </xf>
    <xf borderId="7" fillId="0" fontId="4" numFmtId="0" xfId="0" applyAlignment="1" applyBorder="1" applyFont="1">
      <alignment readingOrder="0"/>
    </xf>
    <xf borderId="7" fillId="4" fontId="7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left" readingOrder="0" shrinkToFit="0" vertical="center" wrapText="1"/>
    </xf>
    <xf borderId="7" fillId="5" fontId="5" numFmtId="3" xfId="0" applyAlignment="1" applyBorder="1" applyFill="1" applyFont="1" applyNumberFormat="1">
      <alignment horizontal="center" shrinkToFit="0" vertical="center" wrapText="1"/>
    </xf>
    <xf borderId="7" fillId="5" fontId="5" numFmtId="2" xfId="0" applyAlignment="1" applyBorder="1" applyFont="1" applyNumberFormat="1">
      <alignment horizontal="center" shrinkToFit="0" vertical="center" wrapText="1"/>
    </xf>
    <xf borderId="7" fillId="5" fontId="5" numFmtId="10" xfId="0" applyAlignment="1" applyBorder="1" applyFont="1" applyNumberFormat="1">
      <alignment horizontal="center" shrinkToFit="0" vertical="center" wrapText="1"/>
    </xf>
    <xf borderId="8" fillId="6" fontId="8" numFmtId="0" xfId="0" applyAlignment="1" applyBorder="1" applyFill="1" applyFont="1">
      <alignment horizontal="left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3" fontId="9" numFmtId="0" xfId="0" applyAlignment="1" applyFont="1">
      <alignment horizontal="center" shrinkToFit="0" vertical="center" wrapText="1"/>
    </xf>
    <xf borderId="0" fillId="0" fontId="10" numFmtId="0" xfId="0" applyFont="1"/>
    <xf borderId="0" fillId="0" fontId="5" numFmtId="0" xfId="0" applyFont="1"/>
    <xf borderId="16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11" numFmtId="0" xfId="0" applyFont="1"/>
    <xf borderId="16" fillId="4" fontId="5" numFmtId="0" xfId="0" applyAlignment="1" applyBorder="1" applyFont="1">
      <alignment horizontal="center" readingOrder="0" shrinkToFit="0" vertical="center" wrapText="1"/>
    </xf>
    <xf borderId="16" fillId="4" fontId="5" numFmtId="0" xfId="0" applyAlignment="1" applyBorder="1" applyFont="1">
      <alignment horizontal="center" shrinkToFit="0" vertical="center" wrapText="1"/>
    </xf>
    <xf borderId="0" fillId="0" fontId="12" numFmtId="0" xfId="0" applyFont="1"/>
    <xf borderId="16" fillId="3" fontId="13" numFmtId="0" xfId="0" applyAlignment="1" applyBorder="1" applyFont="1">
      <alignment horizontal="center" shrinkToFit="0" vertical="center" wrapText="1"/>
    </xf>
    <xf borderId="0" fillId="0" fontId="14" numFmtId="0" xfId="0" applyFont="1"/>
    <xf borderId="16" fillId="5" fontId="5" numFmtId="3" xfId="0" applyAlignment="1" applyBorder="1" applyFont="1" applyNumberFormat="1">
      <alignment horizontal="center" shrinkToFit="0" vertical="center" wrapText="1"/>
    </xf>
    <xf borderId="16" fillId="5" fontId="5" numFmtId="2" xfId="0" applyAlignment="1" applyBorder="1" applyFont="1" applyNumberFormat="1">
      <alignment horizontal="center" shrinkToFit="0" vertical="center" wrapText="1"/>
    </xf>
    <xf borderId="16" fillId="5" fontId="5" numFmtId="10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Mensal!$H$6</c:f>
            </c:strRef>
          </c:tx>
          <c:spPr>
            <a:ln cmpd="sng" w="19050"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Lbls>
            <c:numFmt formatCode="0" sourceLinked="0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Mensal!$A$7:$A$18</c:f>
            </c:strRef>
          </c:cat>
          <c:val>
            <c:numRef>
              <c:f>Mensal!$H$7:$H$18</c:f>
              <c:numCache/>
            </c:numRef>
          </c:val>
          <c:smooth val="1"/>
        </c:ser>
        <c:axId val="1489971421"/>
        <c:axId val="1104901766"/>
      </c:lineChart>
      <c:catAx>
        <c:axId val="1489971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4901766"/>
      </c:catAx>
      <c:valAx>
        <c:axId val="1104901766"/>
        <c:scaling>
          <c:orientation val="minMax"/>
          <c:max val="6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9971421"/>
      </c:valAx>
      <c:lineChart>
        <c:varyColors val="0"/>
        <c:ser>
          <c:idx val="1"/>
          <c:order val="1"/>
          <c:tx>
            <c:strRef>
              <c:f>Mensal!$I$6</c:f>
            </c:strRef>
          </c:tx>
          <c:spPr>
            <a:ln cmpd="sng" w="19050">
              <a:solidFill>
                <a:srgbClr val="C0504D"/>
              </a:solidFill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Lbls>
            <c:numFmt formatCode="0" sourceLinked="0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Mensal!$A$7:$A$18</c:f>
            </c:strRef>
          </c:cat>
          <c:val>
            <c:numRef>
              <c:f>Mensal!$I$7:$I$18</c:f>
              <c:numCache/>
            </c:numRef>
          </c:val>
          <c:smooth val="1"/>
        </c:ser>
        <c:axId val="1891154360"/>
        <c:axId val="534329770"/>
      </c:lineChart>
      <c:catAx>
        <c:axId val="18911543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4329770"/>
      </c:catAx>
      <c:valAx>
        <c:axId val="534329770"/>
        <c:scaling>
          <c:orientation val="minMax"/>
          <c:max val="1300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15436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12096750" cy="46005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2.0"/>
    <col customWidth="1" min="2" max="2" width="18.0"/>
    <col customWidth="1" min="3" max="3" width="52.0"/>
    <col customWidth="1" min="4" max="26" width="8.71"/>
  </cols>
  <sheetData>
    <row r="1">
      <c r="A1" s="1" t="s">
        <v>0</v>
      </c>
      <c r="B1" s="2"/>
      <c r="C1" s="3"/>
    </row>
    <row r="3">
      <c r="A3" s="4" t="s">
        <v>1</v>
      </c>
      <c r="B3" s="5"/>
      <c r="C3" s="6"/>
    </row>
    <row r="4">
      <c r="A4" s="7" t="s">
        <v>2</v>
      </c>
      <c r="B4" s="8">
        <v>127.0</v>
      </c>
      <c r="C4" s="9" t="s">
        <v>3</v>
      </c>
    </row>
    <row r="5">
      <c r="A5" s="7" t="s">
        <v>4</v>
      </c>
      <c r="B5" s="8">
        <v>24.0</v>
      </c>
      <c r="C5" s="9" t="s">
        <v>5</v>
      </c>
    </row>
    <row r="6">
      <c r="A6" s="10" t="s">
        <v>6</v>
      </c>
      <c r="B6" s="8">
        <v>240.0</v>
      </c>
      <c r="C6" s="9" t="s">
        <v>7</v>
      </c>
    </row>
    <row r="7">
      <c r="A7" s="7" t="s">
        <v>8</v>
      </c>
      <c r="B7" s="8">
        <v>12.0</v>
      </c>
      <c r="C7" s="9" t="s">
        <v>9</v>
      </c>
    </row>
    <row r="8">
      <c r="A8" s="7" t="s">
        <v>10</v>
      </c>
      <c r="B8" s="8">
        <v>22.0</v>
      </c>
      <c r="C8" s="9" t="s">
        <v>11</v>
      </c>
    </row>
    <row r="9">
      <c r="A9" s="10" t="s">
        <v>12</v>
      </c>
      <c r="B9" s="8">
        <v>6.0</v>
      </c>
      <c r="C9" s="11" t="s">
        <v>13</v>
      </c>
    </row>
    <row r="10">
      <c r="A10" s="7" t="s">
        <v>14</v>
      </c>
      <c r="B10" s="8">
        <v>0.0</v>
      </c>
      <c r="C10" s="9" t="s">
        <v>15</v>
      </c>
    </row>
    <row r="11">
      <c r="A11" s="10" t="s">
        <v>16</v>
      </c>
      <c r="B11" s="12">
        <v>1000000.0</v>
      </c>
      <c r="C11" s="13" t="s">
        <v>17</v>
      </c>
    </row>
    <row r="14">
      <c r="A14" s="4" t="s">
        <v>18</v>
      </c>
      <c r="B14" s="5"/>
      <c r="C14" s="6"/>
    </row>
    <row r="15">
      <c r="A15" s="7" t="s">
        <v>19</v>
      </c>
      <c r="B15" s="14">
        <f>IFERROR(B4*B7*B8*B9,0)</f>
        <v>201168</v>
      </c>
      <c r="C15" s="9" t="s">
        <v>20</v>
      </c>
    </row>
    <row r="16">
      <c r="A16" s="7" t="s">
        <v>21</v>
      </c>
      <c r="B16" s="14">
        <f>IFERROR(B6,0)</f>
        <v>240</v>
      </c>
      <c r="C16" s="9" t="s">
        <v>22</v>
      </c>
    </row>
    <row r="17">
      <c r="A17" s="7" t="s">
        <v>23</v>
      </c>
      <c r="B17" s="15">
        <f>IFERROR((B5*B11)/B15,0)</f>
        <v>119.3032689</v>
      </c>
      <c r="C17" s="9" t="s">
        <v>24</v>
      </c>
    </row>
    <row r="18">
      <c r="A18" s="7" t="s">
        <v>25</v>
      </c>
      <c r="B18" s="15">
        <f>IFERROR(((B16+B10)*B11)/B15,0)</f>
        <v>1193.032689</v>
      </c>
      <c r="C18" s="9" t="s">
        <v>26</v>
      </c>
    </row>
    <row r="19">
      <c r="A19" s="7" t="s">
        <v>27</v>
      </c>
      <c r="B19" s="16">
        <f>IFERROR(B5/B4,0)</f>
        <v>0.188976378</v>
      </c>
      <c r="C19" s="9" t="s">
        <v>28</v>
      </c>
    </row>
    <row r="22" ht="15.75" customHeight="1">
      <c r="A22" s="17" t="s">
        <v>29</v>
      </c>
      <c r="B22" s="18"/>
      <c r="C22" s="19"/>
    </row>
    <row r="23" ht="15.75" customHeight="1">
      <c r="A23" s="20"/>
      <c r="C23" s="21"/>
    </row>
    <row r="24" ht="15.75" customHeight="1">
      <c r="A24" s="22"/>
      <c r="B24" s="23"/>
      <c r="C24" s="2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:C1"/>
    <mergeCell ref="A3:C3"/>
    <mergeCell ref="A14:C14"/>
    <mergeCell ref="A22:C24"/>
  </mergeCells>
  <dataValidations>
    <dataValidation type="decimal" operator="greaterThanOrEqual" allowBlank="1" sqref="B4:B11">
      <formula1>0.0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2.0"/>
    <col customWidth="1" min="2" max="11" width="18.0"/>
    <col customWidth="1" min="12" max="26" width="8.71"/>
  </cols>
  <sheetData>
    <row r="1">
      <c r="A1" s="25" t="s">
        <v>30</v>
      </c>
      <c r="I1" s="26"/>
      <c r="J1" s="26"/>
      <c r="K1" s="26"/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</row>
    <row r="3">
      <c r="A3" s="27" t="s">
        <v>31</v>
      </c>
      <c r="B3" s="28" t="s">
        <v>32</v>
      </c>
      <c r="C3" s="28" t="s">
        <v>33</v>
      </c>
      <c r="D3" s="28" t="s">
        <v>34</v>
      </c>
      <c r="E3" s="28" t="s">
        <v>35</v>
      </c>
      <c r="F3" s="29" t="s">
        <v>36</v>
      </c>
      <c r="G3" s="30"/>
      <c r="H3" s="30"/>
      <c r="I3" s="26"/>
      <c r="J3" s="26"/>
      <c r="K3" s="26"/>
    </row>
    <row r="4">
      <c r="A4" s="30"/>
      <c r="B4" s="31">
        <v>127.0</v>
      </c>
      <c r="C4" s="32">
        <f>Indicadores!B7</f>
        <v>12</v>
      </c>
      <c r="D4" s="32">
        <f>Indicadores!B8</f>
        <v>22</v>
      </c>
      <c r="E4" s="32">
        <f>Indicadores!B11</f>
        <v>1000000</v>
      </c>
      <c r="F4" s="33" t="s">
        <v>37</v>
      </c>
      <c r="I4" s="26"/>
      <c r="J4" s="26"/>
      <c r="K4" s="26"/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</row>
    <row r="6">
      <c r="A6" s="34" t="s">
        <v>38</v>
      </c>
      <c r="B6" s="34" t="s">
        <v>39</v>
      </c>
      <c r="C6" s="34" t="s">
        <v>40</v>
      </c>
      <c r="D6" s="34" t="s">
        <v>41</v>
      </c>
      <c r="E6" s="34" t="s">
        <v>42</v>
      </c>
      <c r="F6" s="34" t="s">
        <v>43</v>
      </c>
      <c r="G6" s="34" t="s">
        <v>44</v>
      </c>
      <c r="H6" s="34" t="s">
        <v>45</v>
      </c>
      <c r="I6" s="34" t="s">
        <v>46</v>
      </c>
      <c r="J6" s="34" t="s">
        <v>47</v>
      </c>
      <c r="K6" s="34" t="s">
        <v>48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28" t="s">
        <v>49</v>
      </c>
      <c r="B7" s="31">
        <v>24.0</v>
      </c>
      <c r="C7" s="31">
        <v>0.0</v>
      </c>
      <c r="D7" s="31">
        <v>0.0</v>
      </c>
      <c r="E7" s="31">
        <v>240.0</v>
      </c>
      <c r="F7" s="31">
        <v>0.0</v>
      </c>
      <c r="G7" s="36">
        <f>IFERROR($B$4*$C$4*$D$4*Indicadores!$B$9,0)</f>
        <v>201168</v>
      </c>
      <c r="H7" s="37">
        <f t="shared" ref="H7:H18" si="1">IFERROR((($B7+$C7)*$E$4)/$G7,0)</f>
        <v>119.3032689</v>
      </c>
      <c r="I7" s="37">
        <f t="shared" ref="I7:I18" si="2">IFERROR((($E7+$F7)*$E$4)/$G7,0)</f>
        <v>1193.032689</v>
      </c>
      <c r="J7" s="38">
        <f t="shared" ref="J7:J18" si="3">IFERROR($B7/$B$4,0)</f>
        <v>0.188976378</v>
      </c>
      <c r="K7" s="37">
        <f t="shared" ref="K7:K18" si="4">IFERROR(($D7*$E$4)/$G7,0)</f>
        <v>0</v>
      </c>
    </row>
    <row r="8">
      <c r="A8" s="28" t="s">
        <v>50</v>
      </c>
      <c r="B8" s="31">
        <v>0.0</v>
      </c>
      <c r="C8" s="31">
        <v>0.0</v>
      </c>
      <c r="D8" s="31">
        <v>0.0</v>
      </c>
      <c r="E8" s="31">
        <v>0.0</v>
      </c>
      <c r="F8" s="31">
        <v>0.0</v>
      </c>
      <c r="G8" s="36">
        <f>IFERROR($B$4*$C$4*$D$4*Indicadores!$B$9,0)</f>
        <v>201168</v>
      </c>
      <c r="H8" s="37">
        <f t="shared" si="1"/>
        <v>0</v>
      </c>
      <c r="I8" s="37">
        <f t="shared" si="2"/>
        <v>0</v>
      </c>
      <c r="J8" s="38">
        <f t="shared" si="3"/>
        <v>0</v>
      </c>
      <c r="K8" s="37">
        <f t="shared" si="4"/>
        <v>0</v>
      </c>
    </row>
    <row r="9">
      <c r="A9" s="28" t="s">
        <v>51</v>
      </c>
      <c r="B9" s="31">
        <v>0.0</v>
      </c>
      <c r="C9" s="31">
        <v>0.0</v>
      </c>
      <c r="D9" s="31">
        <v>0.0</v>
      </c>
      <c r="E9" s="31">
        <v>0.0</v>
      </c>
      <c r="F9" s="31">
        <v>0.0</v>
      </c>
      <c r="G9" s="36">
        <f>IFERROR($B$4*$C$4*$D$4*Indicadores!$B$9,0)</f>
        <v>201168</v>
      </c>
      <c r="H9" s="37">
        <f t="shared" si="1"/>
        <v>0</v>
      </c>
      <c r="I9" s="37">
        <f t="shared" si="2"/>
        <v>0</v>
      </c>
      <c r="J9" s="38">
        <f t="shared" si="3"/>
        <v>0</v>
      </c>
      <c r="K9" s="37">
        <f t="shared" si="4"/>
        <v>0</v>
      </c>
    </row>
    <row r="10">
      <c r="A10" s="28" t="s">
        <v>52</v>
      </c>
      <c r="B10" s="31">
        <v>0.0</v>
      </c>
      <c r="C10" s="31">
        <v>0.0</v>
      </c>
      <c r="D10" s="31">
        <v>0.0</v>
      </c>
      <c r="E10" s="31">
        <v>0.0</v>
      </c>
      <c r="F10" s="31">
        <v>0.0</v>
      </c>
      <c r="G10" s="36">
        <f>IFERROR($B$4*$C$4*$D$4*Indicadores!$B$9,0)</f>
        <v>201168</v>
      </c>
      <c r="H10" s="37">
        <f t="shared" si="1"/>
        <v>0</v>
      </c>
      <c r="I10" s="37">
        <f t="shared" si="2"/>
        <v>0</v>
      </c>
      <c r="J10" s="38">
        <f t="shared" si="3"/>
        <v>0</v>
      </c>
      <c r="K10" s="37">
        <f t="shared" si="4"/>
        <v>0</v>
      </c>
    </row>
    <row r="11">
      <c r="A11" s="28" t="s">
        <v>53</v>
      </c>
      <c r="B11" s="32">
        <v>0.0</v>
      </c>
      <c r="C11" s="32">
        <v>0.0</v>
      </c>
      <c r="D11" s="32">
        <v>0.0</v>
      </c>
      <c r="E11" s="32">
        <v>0.0</v>
      </c>
      <c r="F11" s="32">
        <v>0.0</v>
      </c>
      <c r="G11" s="36">
        <f>IFERROR($B$4*$C$4*$D$4*Indicadores!$B$9,0)</f>
        <v>201168</v>
      </c>
      <c r="H11" s="37">
        <f t="shared" si="1"/>
        <v>0</v>
      </c>
      <c r="I11" s="37">
        <f t="shared" si="2"/>
        <v>0</v>
      </c>
      <c r="J11" s="38">
        <f t="shared" si="3"/>
        <v>0</v>
      </c>
      <c r="K11" s="37">
        <f t="shared" si="4"/>
        <v>0</v>
      </c>
    </row>
    <row r="12">
      <c r="A12" s="28" t="s">
        <v>54</v>
      </c>
      <c r="B12" s="32">
        <v>0.0</v>
      </c>
      <c r="C12" s="32">
        <v>0.0</v>
      </c>
      <c r="D12" s="32">
        <v>0.0</v>
      </c>
      <c r="E12" s="32">
        <v>0.0</v>
      </c>
      <c r="F12" s="32">
        <v>0.0</v>
      </c>
      <c r="G12" s="36">
        <f>IFERROR($B$4*$C$4*$D$4*Indicadores!$B$9,0)</f>
        <v>201168</v>
      </c>
      <c r="H12" s="37">
        <f t="shared" si="1"/>
        <v>0</v>
      </c>
      <c r="I12" s="37">
        <f t="shared" si="2"/>
        <v>0</v>
      </c>
      <c r="J12" s="38">
        <f t="shared" si="3"/>
        <v>0</v>
      </c>
      <c r="K12" s="37">
        <f t="shared" si="4"/>
        <v>0</v>
      </c>
    </row>
    <row r="13">
      <c r="A13" s="28" t="s">
        <v>55</v>
      </c>
      <c r="B13" s="32">
        <v>0.0</v>
      </c>
      <c r="C13" s="32">
        <v>0.0</v>
      </c>
      <c r="D13" s="32">
        <v>0.0</v>
      </c>
      <c r="E13" s="32">
        <v>0.0</v>
      </c>
      <c r="F13" s="32">
        <v>0.0</v>
      </c>
      <c r="G13" s="36">
        <f>IFERROR($B$4*$C$4*$D$4*Indicadores!$B$9,0)</f>
        <v>201168</v>
      </c>
      <c r="H13" s="37">
        <f t="shared" si="1"/>
        <v>0</v>
      </c>
      <c r="I13" s="37">
        <f t="shared" si="2"/>
        <v>0</v>
      </c>
      <c r="J13" s="38">
        <f t="shared" si="3"/>
        <v>0</v>
      </c>
      <c r="K13" s="37">
        <f t="shared" si="4"/>
        <v>0</v>
      </c>
    </row>
    <row r="14">
      <c r="A14" s="28" t="s">
        <v>56</v>
      </c>
      <c r="B14" s="32">
        <v>0.0</v>
      </c>
      <c r="C14" s="32">
        <v>0.0</v>
      </c>
      <c r="D14" s="32">
        <v>0.0</v>
      </c>
      <c r="E14" s="32">
        <v>0.0</v>
      </c>
      <c r="F14" s="32">
        <v>0.0</v>
      </c>
      <c r="G14" s="36">
        <f>IFERROR($B$4*$C$4*$D$4*Indicadores!$B$9,0)</f>
        <v>201168</v>
      </c>
      <c r="H14" s="37">
        <f t="shared" si="1"/>
        <v>0</v>
      </c>
      <c r="I14" s="37">
        <f t="shared" si="2"/>
        <v>0</v>
      </c>
      <c r="J14" s="38">
        <f t="shared" si="3"/>
        <v>0</v>
      </c>
      <c r="K14" s="37">
        <f t="shared" si="4"/>
        <v>0</v>
      </c>
    </row>
    <row r="15">
      <c r="A15" s="28" t="s">
        <v>57</v>
      </c>
      <c r="B15" s="32">
        <v>0.0</v>
      </c>
      <c r="C15" s="32">
        <v>0.0</v>
      </c>
      <c r="D15" s="32">
        <v>0.0</v>
      </c>
      <c r="E15" s="32">
        <v>0.0</v>
      </c>
      <c r="F15" s="32">
        <v>0.0</v>
      </c>
      <c r="G15" s="36">
        <f>IFERROR($B$4*$C$4*$D$4*Indicadores!$B$9,0)</f>
        <v>201168</v>
      </c>
      <c r="H15" s="37">
        <f t="shared" si="1"/>
        <v>0</v>
      </c>
      <c r="I15" s="37">
        <f t="shared" si="2"/>
        <v>0</v>
      </c>
      <c r="J15" s="38">
        <f t="shared" si="3"/>
        <v>0</v>
      </c>
      <c r="K15" s="37">
        <f t="shared" si="4"/>
        <v>0</v>
      </c>
    </row>
    <row r="16">
      <c r="A16" s="28" t="s">
        <v>58</v>
      </c>
      <c r="B16" s="32">
        <v>0.0</v>
      </c>
      <c r="C16" s="32">
        <v>0.0</v>
      </c>
      <c r="D16" s="32">
        <v>0.0</v>
      </c>
      <c r="E16" s="32">
        <v>0.0</v>
      </c>
      <c r="F16" s="32">
        <v>0.0</v>
      </c>
      <c r="G16" s="36">
        <f>IFERROR($B$4*$C$4*$D$4*Indicadores!$B$9,0)</f>
        <v>201168</v>
      </c>
      <c r="H16" s="37">
        <f t="shared" si="1"/>
        <v>0</v>
      </c>
      <c r="I16" s="37">
        <f t="shared" si="2"/>
        <v>0</v>
      </c>
      <c r="J16" s="38">
        <f t="shared" si="3"/>
        <v>0</v>
      </c>
      <c r="K16" s="37">
        <f t="shared" si="4"/>
        <v>0</v>
      </c>
    </row>
    <row r="17">
      <c r="A17" s="28" t="s">
        <v>59</v>
      </c>
      <c r="B17" s="32">
        <v>0.0</v>
      </c>
      <c r="C17" s="32">
        <v>0.0</v>
      </c>
      <c r="D17" s="32">
        <v>0.0</v>
      </c>
      <c r="E17" s="32">
        <v>0.0</v>
      </c>
      <c r="F17" s="32">
        <v>0.0</v>
      </c>
      <c r="G17" s="36">
        <f>IFERROR($B$4*$C$4*$D$4*Indicadores!$B$9,0)</f>
        <v>201168</v>
      </c>
      <c r="H17" s="37">
        <f t="shared" si="1"/>
        <v>0</v>
      </c>
      <c r="I17" s="37">
        <f t="shared" si="2"/>
        <v>0</v>
      </c>
      <c r="J17" s="38">
        <f t="shared" si="3"/>
        <v>0</v>
      </c>
      <c r="K17" s="37">
        <f t="shared" si="4"/>
        <v>0</v>
      </c>
    </row>
    <row r="18">
      <c r="A18" s="28" t="s">
        <v>60</v>
      </c>
      <c r="B18" s="32">
        <v>0.0</v>
      </c>
      <c r="C18" s="32">
        <v>0.0</v>
      </c>
      <c r="D18" s="32">
        <v>0.0</v>
      </c>
      <c r="E18" s="32">
        <v>0.0</v>
      </c>
      <c r="F18" s="32">
        <v>0.0</v>
      </c>
      <c r="G18" s="36">
        <f>IFERROR($B$4*$C$4*$D$4*Indicadores!$B$9,0)</f>
        <v>201168</v>
      </c>
      <c r="H18" s="37">
        <f t="shared" si="1"/>
        <v>0</v>
      </c>
      <c r="I18" s="37">
        <f t="shared" si="2"/>
        <v>0</v>
      </c>
      <c r="J18" s="38">
        <f t="shared" si="3"/>
        <v>0</v>
      </c>
      <c r="K18" s="37">
        <f t="shared" si="4"/>
        <v>0</v>
      </c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</row>
  </sheetData>
  <mergeCells count="2">
    <mergeCell ref="A1:H1"/>
    <mergeCell ref="F4:H4"/>
  </mergeCells>
  <dataValidations>
    <dataValidation type="decimal" operator="greaterThanOrEqual" allowBlank="1" sqref="B7:F18">
      <formula1>0.0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N5" s="35"/>
    </row>
  </sheetData>
  <drawing r:id="rId1"/>
</worksheet>
</file>